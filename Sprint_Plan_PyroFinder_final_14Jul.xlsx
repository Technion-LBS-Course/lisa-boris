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showInkAnnotation="0" autoCompressPictures="0"/>
  <xr:revisionPtr revIDLastSave="1" documentId="11_D3242D47233AF0CF3A75C05DC6D05EDA15D0AE03" xr6:coauthVersionLast="47" xr6:coauthVersionMax="47" xr10:uidLastSave="{104A1234-FC0B-4A7A-8EEB-3135D66BED47}"/>
  <bookViews>
    <workbookView xWindow="0" yWindow="0" windowWidth="0" windowHeight="0" activeTab="3" xr2:uid="{00000000-000D-0000-FFFF-FFFF00000000}"/>
  </bookViews>
  <sheets>
    <sheet name="Overview" sheetId="1" r:id="rId1"/>
    <sheet name="Weekly Plan" sheetId="2" r:id="rId2"/>
    <sheet name="Exit Criteria" sheetId="3" r:id="rId3"/>
    <sheet name="Lists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<sst xmlns="http://schemas.openxmlformats.org/spreadsheetml/2006/main" count="89" uniqueCount="73">
  <si>
    <t>PyroFinder</t>
  </si>
  <si>
    <t>Sprint Plan</t>
  </si>
  <si>
    <t>Project</t>
  </si>
  <si>
    <t>Real-time fire outbreak detection and monitoring using cameras that already exist at the customer site.</t>
  </si>
  <si>
    <t>One-Liner</t>
  </si>
  <si>
    <t>Private property owners suffer from delayed fire awareness; PyroFinder uses existing cameras, YOLO11s fire/smoke detection, and approximate map-based alerts.</t>
  </si>
  <si>
    <t>Primary Model</t>
  </si>
  <si>
    <t>YOLO11s; YOLO11n as speed baseline / fallback</t>
  </si>
  <si>
    <t>Primary Dataset</t>
  </si>
  <si>
    <t>D-Fire</t>
  </si>
  <si>
    <t>Primary MVP</t>
  </si>
  <si>
    <t>Operations &amp; Learning Dashboard + basic Central Control Dashboard; offline polygon-to-map setup for geolocation</t>
  </si>
  <si>
    <t>Progress Summary</t>
  </si>
  <si>
    <t>Total Sprints</t>
  </si>
  <si>
    <t>Done</t>
  </si>
  <si>
    <t>In Progress</t>
  </si>
  <si>
    <t>Blocked</t>
  </si>
  <si>
    <t>Not Started</t>
  </si>
  <si>
    <t>Completion %</t>
  </si>
  <si>
    <t>Meeting</t>
  </si>
  <si>
    <t>Date</t>
  </si>
  <si>
    <t>Milestone</t>
  </si>
  <si>
    <t>Topic</t>
  </si>
  <si>
    <t>PyroFinder Work Plan</t>
  </si>
  <si>
    <t>Definition of Done</t>
  </si>
  <si>
    <t>Owner</t>
  </si>
  <si>
    <t>Status</t>
  </si>
  <si>
    <t>Evidence / Link</t>
  </si>
  <si>
    <t>M1</t>
  </si>
  <si>
    <t>Planning, README, GitHub setup</t>
  </si>
  <si>
    <t>Finalize PROJECT_CONTEXT.md, README.md, Sprint Plan, CLAUDE.md, and repository skeleton. Prepare the 3-minute M1 pitch.</t>
  </si>
  <si>
    <t>README.md includes all M1 sections; Sprint Plan has measurable weekly DoD; GitHub skeleton exists with app.py, src/, data/, notebooks/, tests/; CLAUDE.md is ready; pitch slides are ready.</t>
  </si>
  <si>
    <t>Data loading + first Streamlit interface</t>
  </si>
  <si>
    <t>Prepare D-Fire download/metadata workflow. Build first Operations &amp; Learning Dashboard page for dataset inspection and sample visualization.</t>
  </si>
  <si>
    <t>Streamlit loads real D-Fire metadata or sample images; at least 20 labeled examples are displayed with fire/smoke boxes; class counts for fire/smoke/background are visible.</t>
  </si>
  <si>
    <t>M2</t>
  </si>
  <si>
    <t>EDA dashboard + first baseline metric</t>
  </si>
  <si>
    <t>Build the EDA dashboard for D-Fire and verify supplementary dataset compatibility. Add first baseline metric using YOLO11n on a small reproducible validation subset or documented run.</t>
  </si>
  <si>
    <t>Dashboard includes at least 3 visualizations: class distribution, bbox count/size distribution, and sample image grid with boxes. Data Card is updated. First YOLO11n baseline metric is calculated or documented.</t>
  </si>
  <si>
    <t>YOLO11n baseline + evaluation pipeline</t>
  </si>
  <si>
    <t>Implement model/evaluation wrappers. Run YOLO11n baseline more systematically and save metrics for mAP, precision, recall, F1, false alarm rate, and speed.</t>
  </si>
  <si>
    <t>Reproducible baseline evaluation exists; metrics are saved to reports/ or shown in the dashboard; inference speed is measured; at least one baseline detection overlay is visible.</t>
  </si>
  <si>
    <t>YOLO11s main model + inference UI</t>
  </si>
  <si>
    <t>Fine-tune or load YOLO11s. Compare against YOLO11n. Add uploaded image/video inference with detection overlays and confidence scores.</t>
  </si>
  <si>
    <t>App accepts uploaded image or short video; YOLO11s detections are shown with fire/smoke boxes and confidence; comparison table documents YOLO11s vs YOLO11n accuracy/speed tradeoff.</t>
  </si>
  <si>
    <t>M3</t>
  </si>
  <si>
    <t>Published prototype + alert/map flow</t>
  </si>
  <si>
    <t>Add multi-frame confirmation, alert log, basic camera metadata table, manual image polygon definition, basic polygon-to-map link, and deploy to Streamlit Cloud.</t>
  </si>
  <si>
    <t>Public Streamlit URL is active; real inference works on sample media; alerts trigger only after N consecutive detections; alert/map prototype is visible; basic tests pass.</t>
  </si>
  <si>
    <t>UX, mapping setup, and mentor feedback</t>
  </si>
  <si>
    <t>Improve Central Control Dashboard basics: customer/site/camera map, camera status, mapping status, polygon editing workflow, and alert review. Incorporate mentor feedback.</t>
  </si>
  <si>
    <t>Dashboard flow is clear: select media/camera, run detection, view alert log, inspect metadata/map, and edit image polygons. At least 3 mentor feedback items are documented and addressed.</t>
  </si>
  <si>
    <t>Validation, FP/FN review, and tests</t>
  </si>
  <si>
    <t>Validate with supplementary datasets and FURG video sequences. Add false positive/negative review and tests for data loading, detection wrapper, alert confirmation, and mapping lookup.</t>
  </si>
  <si>
    <t>Validation results exist for at least one external dataset/video. FP/FN examples are visible. pytest passes. README and Data Card are updated with measured limitations.</t>
  </si>
  <si>
    <t>Final</t>
  </si>
  <si>
    <t>Final demo and defense</t>
  </si>
  <si>
    <t>Present PyroFinder and defend the problem, data, ML formulation, architecture, risks, limitations, and product value. The final demo now takes place on 14/07 due to schedule constraints.</t>
  </si>
  <si>
    <t>Stable public demo URL works; final report/presentation are ready; live demo shows data inspection, YOLO11s inference, alert confirmation, mapping output, and metrics/baseline comparison.</t>
  </si>
  <si>
    <t>Exit Criteria</t>
  </si>
  <si>
    <t>M1 — Pitch</t>
  </si>
  <si>
    <t>README / project context complete in GitHub; real dataset selected with URL and Data Card; formal ML problem defined; architecture diagram complete; GitHub skeleton and CLAUDE.md ready; 3-minute pitch prepared.</t>
  </si>
  <si>
    <t>M2 — Data</t>
  </si>
  <si>
    <t>Streamlit loads real D-Fire data; dataset inspection and EDA working; at least 3 visualizations; Data Card updated; first YOLO11n baseline metric calculated or documented.</t>
  </si>
  <si>
    <t>M3 — Published Prototype</t>
  </si>
  <si>
    <t>Public Streamlit URL active; YOLO11s live inference works; YOLO11s compared against YOLO11n baseline with documented accuracy/speed tradeoff; basic tests pass; alert/map prototype visible.</t>
  </si>
  <si>
    <t>Final — Demo Day</t>
  </si>
  <si>
    <t>Documented code; stable public demo URL; final metrics and limitations documented; working end-to-end demo; final presentation/demo defense on 14/07/2026.</t>
  </si>
  <si>
    <t>Priority</t>
  </si>
  <si>
    <t>Low</t>
  </si>
  <si>
    <t>Medium</t>
  </si>
  <si>
    <t>High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</si>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</sst>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>
    <font>
      <sz val="11"/>
      <color rgb="FF000000"/>
      <name val="Carlito"/>
    </font>
    <font>
      <b/>
      <sz val="10"/>
      <color rgb="FFFFFFFF"/>
      <name val="Aptos"/>
    </font>
    <font>
      <sz val="10"/>
      <color rgb="FF000000"/>
      <name val="Aptos"/>
    </font>
    <font>
      <b/>
      <sz val="10"/>
      <color theme="1"/>
      <name val="Aptos"/>
    </font>
    <font>
      <sz val="10"/>
      <color theme="1"/>
      <name val="Aptos"/>
    </font>
    <font>
      <b/>
      <sz val="10"/>
      <color rgb="FF0F172A"/>
      <name val="Aptos"/>
    </font>
    <font>
      <b/>
      <sz val="10"/>
      <color rgb="FF000000"/>
      <name val="Aptos"/>
    </font>
    <font>
      <sz val="10"/>
      <color rgb="FF0F172A"/>
      <name val="Aptos"/>
    </font>
    <font>
      <b/>
      <sz val="14"/>
      <color rgb="FFFFFFFF"/>
      <name val="Aptos"/>
    </font>
  </fonts>
  <fills count="7">
    <fill>
      <patternFill patternType="none"/>
    </fill>
    <fill>
      <patternFill patternType="gray125"/>
    </fill>
    <fill>
      <patternFill patternType="solid">
        <fgColor rgb="FF14532D"/>
      </patternFill>
    </fill>
    <fill>
      <patternFill patternType="solid">
        <fgColor rgb="FFDCFCE7"/>
      </patternFill>
    </fill>
    <fill>
      <patternFill patternType="solid">
        <fgColor rgb="FFEA580C"/>
      </patternFill>
    </fill>
    <fill>
      <patternFill patternType="solid">
        <fgColor rgb="FFFFEDD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9" fontId="2" fillId="0" borderId="1" xfId="0" applyNumberFormat="1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horizontal="center" vertical="top" wrapText="1"/>
    </xf>
    <xf numFmtId="164" fontId="7" fillId="6" borderId="1" xfId="0" applyNumberFormat="1" applyFont="1" applyFill="1" applyBorder="1" applyAlignment="1">
      <alignment horizontal="center" vertical="top" wrapText="1"/>
    </xf>
    <xf numFmtId="164" fontId="4" fillId="0" borderId="1" xfId="0" applyNumberFormat="1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8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1" fontId="2" fillId="0" borderId="1" xfId="0" applyNumberFormat="1" applyFont="1" applyBorder="1" applyAlignment="1">
      <alignment vertical="top" wrapText="1"/>
    </xf>
    <xf numFmtId="0" fontId="5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9">
    <dxf>
      <font>
        <b/>
        <color rgb="FF9A3412"/>
      </font>
      <fill>
        <patternFill>
          <bgColor rgb="FFFFEDD5"/>
        </patternFill>
      </fill>
    </dxf>
    <dxf>
      <font>
        <b/>
        <color rgb="FF1E3A8A"/>
      </font>
      <fill>
        <patternFill>
          <bgColor rgb="FFDBEAFE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854D0E"/>
      </font>
      <fill>
        <patternFill>
          <bgColor rgb="FFFEF3C7"/>
        </patternFill>
      </fill>
    </dxf>
    <dxf>
      <font>
        <b/>
        <color rgb="FF14532D"/>
      </font>
      <fill>
        <patternFill>
          <bgColor rgb="FFDCFCE7"/>
        </patternFill>
      </fill>
    </dxf>
    <dxf>
      <fill>
        <patternFill>
          <bgColor rgb="FFF2F2F2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10">
  <tableColumns count="9">
    <tableColumn id="1" xr3:uid="{00000000-0010-0000-0000-000001000000}" name="Meeting"/>
    <tableColumn id="2" xr3:uid="{00000000-0010-0000-0000-000002000000}" name="Date"/>
    <tableColumn id="3" xr3:uid="{00000000-0010-0000-0000-000003000000}" name="Milestone"/>
    <tableColumn id="4" xr3:uid="{00000000-0010-0000-0000-000004000000}" name="Topic"/>
    <tableColumn id="5" xr3:uid="{00000000-0010-0000-0000-000005000000}" name="PyroFinder Work Plan"/>
    <tableColumn id="6" xr3:uid="{00000000-0010-0000-0000-000006000000}" name="Definition of Done"/>
    <tableColumn id="7" xr3:uid="{00000000-0010-0000-0000-000007000000}" name="Owner"/>
    <tableColumn id="8" xr3:uid="{00000000-0010-0000-0000-000008000000}" name="Status"/>
    <tableColumn id="9" xr3:uid="{00000000-0010-0000-0000-000009000000}" name="Evidence / Link"/>
  </tableColumns>
  <tableStyleInfo name="Weekly Pla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C5">
  <tableColumns count="3">
    <tableColumn id="1" xr3:uid="{00000000-0010-0000-0100-000001000000}" name="Milestone"/>
    <tableColumn id="2" xr3:uid="{00000000-0010-0000-0100-000002000000}" name="Date"/>
    <tableColumn id="3" xr3:uid="{00000000-0010-0000-0100-000003000000}" name="Exit Criteria"/>
  </tableColumns>
  <tableStyleInfo name="Exit Criteri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Normal="100" zoomScaleSheetLayoutView="100" workbookViewId="0">
      <selection activeCell="B4" sqref="B4"/>
    </sheetView>
  </sheetViews>
  <sheetFormatPr defaultColWidth="12.625" defaultRowHeight="15"/>
  <cols>
    <col min="1" max="1" width="22" customWidth="1"/>
    <col min="2" max="2" width="80" customWidth="1"/>
    <col min="3" max="4" width="12" customWidth="1"/>
    <col min="5" max="26" width="8.625" customWidth="1"/>
  </cols>
  <sheetData>
    <row r="1" spans="1:26" ht="26.1" customHeight="1">
      <c r="A1" s="16" t="s">
        <v>0</v>
      </c>
      <c r="B1" s="16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8.1" customHeight="1">
      <c r="A2" s="3" t="s">
        <v>2</v>
      </c>
      <c r="B2" s="4" t="s">
        <v>3</v>
      </c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8.1" customHeight="1">
      <c r="A3" s="3" t="s">
        <v>4</v>
      </c>
      <c r="B3" s="4" t="s">
        <v>5</v>
      </c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8.1" customHeight="1">
      <c r="A4" s="3" t="s">
        <v>6</v>
      </c>
      <c r="B4" s="4" t="s">
        <v>7</v>
      </c>
      <c r="C4" s="1"/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8.1" customHeight="1">
      <c r="A5" s="3" t="s">
        <v>8</v>
      </c>
      <c r="B5" s="4" t="s">
        <v>9</v>
      </c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8.1" customHeight="1">
      <c r="A6" s="3" t="s">
        <v>10</v>
      </c>
      <c r="B6" s="15" t="s">
        <v>11</v>
      </c>
      <c r="C6" s="1"/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customHeight="1">
      <c r="A7" s="20"/>
      <c r="B7" s="21"/>
      <c r="C7" s="22"/>
      <c r="D7" s="2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" customHeight="1">
      <c r="A8" s="17"/>
      <c r="B8" s="10"/>
      <c r="C8" s="1"/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5" t="s">
        <v>12</v>
      </c>
      <c r="B9" s="5"/>
      <c r="C9" s="1"/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6" t="s">
        <v>13</v>
      </c>
      <c r="B10" s="18">
        <v>9</v>
      </c>
      <c r="C10" s="1"/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6" t="s">
        <v>14</v>
      </c>
      <c r="B11" s="18">
        <v>0</v>
      </c>
      <c r="C11" s="1"/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6" t="s">
        <v>15</v>
      </c>
      <c r="B12" s="18">
        <v>1</v>
      </c>
      <c r="C12" s="1"/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6" t="s">
        <v>16</v>
      </c>
      <c r="B13" s="18">
        <v>0</v>
      </c>
      <c r="C13" s="1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 t="s">
        <v>17</v>
      </c>
      <c r="B14" s="19">
        <v>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 t="s">
        <v>18</v>
      </c>
      <c r="B15" s="8"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/>
    <row r="102" spans="1:26" ht="15.75" customHeight="1"/>
    <row r="103" spans="1:26" ht="15.75" customHeight="1"/>
    <row r="104" spans="1:26" ht="15.75" customHeight="1"/>
    <row r="105" spans="1:26" ht="15.75" customHeight="1"/>
    <row r="106" spans="1:26" ht="15.75" customHeight="1"/>
    <row r="107" spans="1:26" ht="15.75" customHeight="1"/>
    <row r="108" spans="1:26" ht="15.75" customHeight="1"/>
    <row r="109" spans="1:26" ht="15.75" customHeight="1"/>
    <row r="110" spans="1:26" ht="15.75" customHeight="1"/>
    <row r="111" spans="1:26" ht="15.75" customHeight="1"/>
    <row r="112" spans="1:2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zoomScaleNormal="100" zoomScaleSheetLayoutView="100" workbookViewId="0"/>
  </sheetViews>
  <sheetFormatPr defaultColWidth="12.625" defaultRowHeight="15"/>
  <cols>
    <col min="1" max="1" width="10" customWidth="1"/>
    <col min="2" max="3" width="12" customWidth="1"/>
    <col min="4" max="4" width="24" customWidth="1"/>
    <col min="5" max="5" width="42" customWidth="1"/>
    <col min="6" max="6" width="52" customWidth="1"/>
    <col min="7" max="7" width="14" customWidth="1"/>
    <col min="8" max="8" width="16" customWidth="1"/>
    <col min="9" max="9" width="28" customWidth="1"/>
    <col min="10" max="26" width="8.625" customWidth="1"/>
  </cols>
  <sheetData>
    <row r="1" spans="1:26" ht="30" customHeight="1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  <c r="H1" s="9" t="s">
        <v>26</v>
      </c>
      <c r="I1" s="9" t="s">
        <v>27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69.95" customHeight="1">
      <c r="A2" s="11">
        <v>3</v>
      </c>
      <c r="B2" s="12">
        <v>46161</v>
      </c>
      <c r="C2" s="11" t="s">
        <v>28</v>
      </c>
      <c r="D2" s="10" t="s">
        <v>29</v>
      </c>
      <c r="E2" s="10" t="s">
        <v>30</v>
      </c>
      <c r="F2" s="10" t="s">
        <v>31</v>
      </c>
      <c r="G2" s="10"/>
      <c r="H2" s="11" t="s">
        <v>15</v>
      </c>
      <c r="I2" s="10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69.95" customHeight="1">
      <c r="A3" s="11">
        <v>4</v>
      </c>
      <c r="B3" s="12">
        <v>46168</v>
      </c>
      <c r="C3" s="11"/>
      <c r="D3" s="10" t="s">
        <v>32</v>
      </c>
      <c r="E3" s="10" t="s">
        <v>33</v>
      </c>
      <c r="F3" s="10" t="s">
        <v>34</v>
      </c>
      <c r="G3" s="10"/>
      <c r="H3" s="11" t="s">
        <v>17</v>
      </c>
      <c r="I3" s="10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69.95" customHeight="1">
      <c r="A4" s="11">
        <v>5</v>
      </c>
      <c r="B4" s="12">
        <v>46175</v>
      </c>
      <c r="C4" s="11" t="s">
        <v>35</v>
      </c>
      <c r="D4" s="10" t="s">
        <v>36</v>
      </c>
      <c r="E4" s="10" t="s">
        <v>37</v>
      </c>
      <c r="F4" s="10" t="s">
        <v>38</v>
      </c>
      <c r="G4" s="10"/>
      <c r="H4" s="11" t="s">
        <v>17</v>
      </c>
      <c r="I4" s="10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9.95" customHeight="1">
      <c r="A5" s="11">
        <v>6</v>
      </c>
      <c r="B5" s="12">
        <v>46182</v>
      </c>
      <c r="C5" s="11"/>
      <c r="D5" s="10" t="s">
        <v>39</v>
      </c>
      <c r="E5" s="10" t="s">
        <v>40</v>
      </c>
      <c r="F5" s="10" t="s">
        <v>41</v>
      </c>
      <c r="G5" s="10"/>
      <c r="H5" s="11" t="s">
        <v>17</v>
      </c>
      <c r="I5" s="10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69.95" customHeight="1">
      <c r="A6" s="11">
        <v>7</v>
      </c>
      <c r="B6" s="12">
        <v>46189</v>
      </c>
      <c r="C6" s="11"/>
      <c r="D6" s="10" t="s">
        <v>42</v>
      </c>
      <c r="E6" s="10" t="s">
        <v>43</v>
      </c>
      <c r="F6" s="10" t="s">
        <v>44</v>
      </c>
      <c r="G6" s="10"/>
      <c r="H6" s="11" t="s">
        <v>17</v>
      </c>
      <c r="I6" s="10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69.95" customHeight="1">
      <c r="A7" s="11">
        <v>8</v>
      </c>
      <c r="B7" s="12">
        <v>46196</v>
      </c>
      <c r="C7" s="11" t="s">
        <v>45</v>
      </c>
      <c r="D7" s="10" t="s">
        <v>46</v>
      </c>
      <c r="E7" s="10" t="s">
        <v>47</v>
      </c>
      <c r="F7" s="10" t="s">
        <v>48</v>
      </c>
      <c r="G7" s="10"/>
      <c r="H7" s="11" t="s">
        <v>17</v>
      </c>
      <c r="I7" s="1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69.95" customHeight="1">
      <c r="A8" s="11">
        <v>9</v>
      </c>
      <c r="B8" s="12">
        <v>46203</v>
      </c>
      <c r="C8" s="11"/>
      <c r="D8" s="10" t="s">
        <v>49</v>
      </c>
      <c r="E8" s="10" t="s">
        <v>50</v>
      </c>
      <c r="F8" s="10" t="s">
        <v>51</v>
      </c>
      <c r="G8" s="10"/>
      <c r="H8" s="11" t="s">
        <v>17</v>
      </c>
      <c r="I8" s="1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69.95" customHeight="1">
      <c r="A9" s="11">
        <v>10</v>
      </c>
      <c r="B9" s="12">
        <v>46210</v>
      </c>
      <c r="C9" s="11"/>
      <c r="D9" s="10" t="s">
        <v>52</v>
      </c>
      <c r="E9" s="10" t="s">
        <v>53</v>
      </c>
      <c r="F9" s="10" t="s">
        <v>54</v>
      </c>
      <c r="G9" s="10"/>
      <c r="H9" s="11" t="s">
        <v>17</v>
      </c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69.95" customHeight="1">
      <c r="A10" s="11">
        <v>11</v>
      </c>
      <c r="B10" s="12">
        <v>46217</v>
      </c>
      <c r="C10" s="11" t="s">
        <v>55</v>
      </c>
      <c r="D10" s="10" t="s">
        <v>56</v>
      </c>
      <c r="E10" s="10" t="s">
        <v>57</v>
      </c>
      <c r="F10" s="10" t="s">
        <v>58</v>
      </c>
      <c r="G10" s="10"/>
      <c r="H10" s="11" t="s">
        <v>17</v>
      </c>
      <c r="I10" s="1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9.95" customHeight="1">
      <c r="A11" s="11"/>
      <c r="B11" s="12"/>
      <c r="C11" s="11"/>
      <c r="D11" s="10"/>
      <c r="E11" s="10"/>
      <c r="F11" s="10"/>
      <c r="G11" s="10"/>
      <c r="H11" s="11"/>
      <c r="I11" s="1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2"/>
      <c r="C20" s="2"/>
      <c r="D20" s="2"/>
      <c r="E20" s="2"/>
      <c r="F20" s="2"/>
      <c r="G20" s="2"/>
      <c r="H20" s="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/>
    <row r="102" spans="1:26" ht="15.75" customHeight="1"/>
    <row r="103" spans="1:26" ht="15.75" customHeight="1"/>
    <row r="104" spans="1:26" ht="15.75" customHeight="1"/>
    <row r="105" spans="1:26" ht="15.75" customHeight="1"/>
    <row r="106" spans="1:26" ht="15.75" customHeight="1"/>
    <row r="107" spans="1:26" ht="15.75" customHeight="1"/>
    <row r="108" spans="1:26" ht="15.75" customHeight="1"/>
    <row r="109" spans="1:26" ht="15.75" customHeight="1"/>
    <row r="110" spans="1:26" ht="15.75" customHeight="1"/>
    <row r="111" spans="1:26" ht="15.75" customHeight="1"/>
    <row r="112" spans="1:2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onditionalFormatting sqref="H2:H999">
    <cfRule type="expression" dxfId="8" priority="1">
      <formula>H2="Done"</formula>
    </cfRule>
  </conditionalFormatting>
  <conditionalFormatting sqref="H2:H999">
    <cfRule type="expression" dxfId="7" priority="2">
      <formula>H2="In Progress"</formula>
    </cfRule>
  </conditionalFormatting>
  <conditionalFormatting sqref="H2:H999">
    <cfRule type="expression" dxfId="6" priority="3">
      <formula>H2="Blocked"</formula>
    </cfRule>
  </conditionalFormatting>
  <conditionalFormatting sqref="H2:H999">
    <cfRule type="expression" dxfId="5" priority="4">
      <formula>H2="Not Started"</formula>
    </cfRule>
  </conditionalFormatting>
  <conditionalFormatting sqref="H2:H11">
    <cfRule type="expression" dxfId="4" priority="5">
      <formula>H2="Done"</formula>
    </cfRule>
    <cfRule type="expression" dxfId="3" priority="6">
      <formula>H2="In Progress"</formula>
    </cfRule>
    <cfRule type="expression" dxfId="2" priority="7">
      <formula>H2="Blocked"</formula>
    </cfRule>
    <cfRule type="expression" dxfId="1" priority="8">
      <formula>H2="Not Started"</formula>
    </cfRule>
  </conditionalFormatting>
  <conditionalFormatting sqref="C2:C11">
    <cfRule type="expression" dxfId="0" priority="9">
      <formula>C2&lt;&gt;""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Lists!$A$2:$A$5</xm:f>
          </x14:formula1>
          <xm:sqref>H2:H99</xm:sqref>
        </x14:dataValidation>
        <x14:dataValidation type="list" xr:uid="{00000000-0002-0000-0100-000001000000}">
          <x14:formula1>
            <xm:f>Lists!$A$2:$A$5</xm:f>
          </x14:formula1>
          <xm:sqref>H2:H11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Normal="100" zoomScaleSheetLayoutView="100" workbookViewId="0"/>
  </sheetViews>
  <sheetFormatPr defaultColWidth="12.625" defaultRowHeight="15"/>
  <cols>
    <col min="1" max="1" width="24" customWidth="1"/>
    <col min="2" max="2" width="14" customWidth="1"/>
    <col min="3" max="3" width="90" customWidth="1"/>
    <col min="4" max="26" width="8.625" customWidth="1"/>
  </cols>
  <sheetData>
    <row r="1" spans="1:26" ht="27.95" customHeight="1">
      <c r="A1" s="9" t="s">
        <v>21</v>
      </c>
      <c r="B1" s="9" t="s">
        <v>20</v>
      </c>
      <c r="C1" s="9" t="s">
        <v>59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60" customHeight="1">
      <c r="A2" s="4" t="s">
        <v>60</v>
      </c>
      <c r="B2" s="13">
        <v>46161</v>
      </c>
      <c r="C2" s="4" t="s">
        <v>61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60" customHeight="1">
      <c r="A3" s="4" t="s">
        <v>62</v>
      </c>
      <c r="B3" s="13">
        <v>46175</v>
      </c>
      <c r="C3" s="4" t="s">
        <v>63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60" customHeight="1">
      <c r="A4" s="4" t="s">
        <v>64</v>
      </c>
      <c r="B4" s="13">
        <v>46196</v>
      </c>
      <c r="C4" s="4" t="s">
        <v>65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 t="s">
        <v>66</v>
      </c>
      <c r="B5" s="13">
        <v>46217</v>
      </c>
      <c r="C5" s="4" t="s">
        <v>67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/>
    <row r="102" spans="1:26" ht="15.75" customHeight="1"/>
    <row r="103" spans="1:26" ht="15.75" customHeight="1"/>
    <row r="104" spans="1:26" ht="15.75" customHeight="1"/>
    <row r="105" spans="1:26" ht="15.75" customHeight="1"/>
    <row r="106" spans="1:26" ht="15.75" customHeight="1"/>
    <row r="107" spans="1:26" ht="15.75" customHeight="1"/>
    <row r="108" spans="1:26" ht="15.75" customHeight="1"/>
    <row r="109" spans="1:26" ht="15.75" customHeight="1"/>
    <row r="110" spans="1:26" ht="15.75" customHeight="1"/>
    <row r="111" spans="1:26" ht="15.75" customHeight="1"/>
    <row r="112" spans="1:2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zoomScaleNormal="100" zoomScaleSheetLayoutView="100" workbookViewId="0"/>
  </sheetViews>
  <sheetFormatPr defaultColWidth="12.625" defaultRowHeight="15"/>
  <cols>
    <col min="1" max="2" width="16" customWidth="1"/>
    <col min="3" max="26" width="8.625" customWidth="1"/>
  </cols>
  <sheetData>
    <row r="1" spans="1:26">
      <c r="A1" s="14" t="s">
        <v>26</v>
      </c>
      <c r="B1" s="14" t="s">
        <v>68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" t="s">
        <v>17</v>
      </c>
      <c r="B2" s="4" t="s">
        <v>69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 t="s">
        <v>15</v>
      </c>
      <c r="B3" s="4" t="s">
        <v>70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" t="s">
        <v>16</v>
      </c>
      <c r="B4" s="4" t="s">
        <v>71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 t="s">
        <v>14</v>
      </c>
      <c r="B5" s="4" t="s">
        <v>72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/>
    <row r="102" spans="1:26" ht="15.75" customHeight="1"/>
    <row r="103" spans="1:26" ht="15.75" customHeight="1"/>
    <row r="104" spans="1:26" ht="15.75" customHeight="1"/>
    <row r="105" spans="1:26" ht="15.75" customHeight="1"/>
    <row r="106" spans="1:26" ht="15.75" customHeight="1"/>
    <row r="107" spans="1:26" ht="15.75" customHeight="1"/>
    <row r="108" spans="1:26" ht="15.75" customHeight="1"/>
    <row r="109" spans="1:26" ht="15.75" customHeight="1"/>
    <row r="110" spans="1:26" ht="15.75" customHeight="1"/>
    <row r="111" spans="1:26" ht="15.75" customHeight="1"/>
    <row r="112" spans="1:2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Lisa Bernstein</cp:lastModifiedBy>
  <cp:revision/>
  <dcterms:created xsi:type="dcterms:W3CDTF">2026-05-17T09:19:54Z</dcterms:created>
  <dcterms:modified xsi:type="dcterms:W3CDTF">2026-05-17T09:19:54Z</dcterms:modified>
  <cp:category/>
  <cp:contentStatus/>
</cp:coreProperties>
</file>